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\Desktop\68 69 длина, 55 56,  56 57 рукав\notepad\"/>
    </mc:Choice>
  </mc:AlternateContent>
  <xr:revisionPtr revIDLastSave="0" documentId="13_ncr:1_{04FA6756-AAED-4072-909F-FBD6AB3CD82D}" xr6:coauthVersionLast="47" xr6:coauthVersionMax="47" xr10:uidLastSave="{00000000-0000-0000-0000-000000000000}"/>
  <bookViews>
    <workbookView xWindow="0" yWindow="15" windowWidth="28800" windowHeight="16185" activeTab="4" xr2:uid="{F17A1A74-75FD-4D3C-8DAF-C964A8F26651}"/>
  </bookViews>
  <sheets>
    <sheet name="Dane" sheetId="1" r:id="rId1"/>
    <sheet name="Analiza (tabela przestawna)" sheetId="5" r:id="rId2"/>
    <sheet name="Wykres" sheetId="3" r:id="rId3"/>
    <sheet name="Wniosek" sheetId="4" r:id="rId4"/>
    <sheet name="Dashboard" sheetId="6" r:id="rId5"/>
  </sheets>
  <definedNames>
    <definedName name="_xlnm._FilterDatabase" localSheetId="0" hidden="1">Dane!$A$1:$C$6</definedName>
    <definedName name="Fragmentator_Ocena__funkcja_JEŻELI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6" l="1"/>
  <c r="C11" i="6"/>
  <c r="C9" i="6"/>
  <c r="C8" i="6"/>
  <c r="C2" i="1"/>
  <c r="C3" i="1"/>
  <c r="C4" i="1"/>
  <c r="C5" i="1"/>
  <c r="C6" i="1"/>
  <c r="B12" i="1"/>
  <c r="B11" i="1"/>
  <c r="B10" i="1"/>
  <c r="B9" i="1"/>
</calcChain>
</file>

<file path=xl/sharedStrings.xml><?xml version="1.0" encoding="utf-8"?>
<sst xmlns="http://schemas.openxmlformats.org/spreadsheetml/2006/main" count="37" uniqueCount="29">
  <si>
    <t>Miesiąc</t>
  </si>
  <si>
    <t>Sprzedaży</t>
  </si>
  <si>
    <t>Kwiecień</t>
  </si>
  <si>
    <t>Maj</t>
  </si>
  <si>
    <t>Marzec</t>
  </si>
  <si>
    <t>Luty</t>
  </si>
  <si>
    <t>Styczeń</t>
  </si>
  <si>
    <t xml:space="preserve">Suma </t>
  </si>
  <si>
    <t>Średnia</t>
  </si>
  <si>
    <t>Max</t>
  </si>
  <si>
    <t>Min</t>
  </si>
  <si>
    <t>Suma końcowa</t>
  </si>
  <si>
    <t>Żle</t>
  </si>
  <si>
    <t>Dobrze</t>
  </si>
  <si>
    <t>Analiza sprzedaży w ciągu miesiąca</t>
  </si>
  <si>
    <t>Ocena (funkcja JEŻELI)</t>
  </si>
  <si>
    <t xml:space="preserve">Sprzedaży </t>
  </si>
  <si>
    <t xml:space="preserve">Miesiąc </t>
  </si>
  <si>
    <t>Miesięczna analiza sprzedaży wykazała, 
że najwyższa spezedaż miała miejsce w
kwietniu, a najniższa w styczniu. Luty, 
kwiecień i maj wypadły dobrze, natomiast 
styczeń i marzec wymagały uwagi. Łączna 
sprzedaż wyniosła 69 000.</t>
  </si>
  <si>
    <t>Analiza miesięcznej sprzedaży pokazuje
wyraźne różnice pomiędzy miesiącami. Najwyższą sprzedaż odnotowano w kwietniu, natomiast najsłabsze wyniki wystąpiły w lutym. Łączna sprzedaż wyniosła 69 000, co wskazuje na stabilny poziom popytu w analizowanym okresie. Dashboard umożliwia szybkie porównanie wyników oraz identyfikację mocnych i słabszych miesięcy.</t>
  </si>
  <si>
    <t>Łączna sprzedaż :</t>
  </si>
  <si>
    <t>Średnia sprzedaż :</t>
  </si>
  <si>
    <t>Najwyższa sprzedaż :</t>
  </si>
  <si>
    <t>Najniższa sprzedaż</t>
  </si>
  <si>
    <t>Kluczowe wskażniki :</t>
  </si>
  <si>
    <t>Wnioski biznesowe :</t>
  </si>
  <si>
    <t>(Kwiecień)</t>
  </si>
  <si>
    <t>(Luty)</t>
  </si>
  <si>
    <t>ANALIZA MIESIĘCZNEJ SPRZEDAŻY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</si>
</sst>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9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1"/>
      <color rgb="FF3F3F3F"/>
      <name val="Calibri"/>
      <family val="2"/>
      <charset val="238"/>
      <scheme val="minor"/>
    </font>
    <font>
      <sz val="13"/>
      <color theme="1"/>
      <name val="Bahnschrift SemiBold"/>
      <family val="2"/>
      <charset val="238"/>
    </font>
    <font>
      <i/>
      <sz val="12"/>
      <color rgb="FF00B050"/>
      <name val="Calibri"/>
      <family val="2"/>
      <charset val="238"/>
      <scheme val="minor"/>
    </font>
    <font>
      <b/>
      <sz val="14"/>
      <color rgb="FF0070C0"/>
      <name val="Calibri"/>
      <family val="2"/>
      <charset val="238"/>
      <scheme val="minor"/>
    </font>
    <font>
      <b/>
      <sz val="13"/>
      <color rgb="FF3F3F3F"/>
      <name val="Calibri"/>
      <family val="2"/>
      <charset val="238"/>
      <scheme val="minor"/>
    </font>
    <font>
      <sz val="13"/>
      <color rgb="FF00B050"/>
      <name val="Bahnschrift SemiBold"/>
      <family val="2"/>
      <charset val="238"/>
    </font>
    <font>
      <sz val="13"/>
      <color rgb="FFFF0000"/>
      <name val="Bahnschrift SemiBold"/>
      <family val="2"/>
      <charset val="238"/>
    </font>
    <font>
      <i/>
      <sz val="12"/>
      <color rgb="FFFF0000"/>
      <name val="Calibri"/>
      <family val="2"/>
      <charset val="238"/>
      <scheme val="minor"/>
    </font>
    <font>
      <sz val="28"/>
      <color theme="3"/>
      <name val="Calibri Light"/>
      <family val="2"/>
      <charset val="238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8" fillId="2" borderId="2" applyNumberFormat="0" applyAlignment="0" applyProtection="0"/>
    <xf numFmtId="0" fontId="6" fillId="3" borderId="3" applyNumberFormat="0" applyFont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 indent="1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Font="1" applyAlignment="1">
      <alignment wrapText="1"/>
    </xf>
    <xf numFmtId="3" fontId="0" fillId="0" borderId="0" xfId="0" applyNumberFormat="1"/>
    <xf numFmtId="0" fontId="11" fillId="0" borderId="0" xfId="0" applyFont="1"/>
    <xf numFmtId="0" fontId="9" fillId="3" borderId="3" xfId="3" applyFont="1"/>
    <xf numFmtId="3" fontId="9" fillId="3" borderId="3" xfId="3" applyNumberFormat="1" applyFont="1"/>
    <xf numFmtId="0" fontId="0" fillId="3" borderId="3" xfId="3" applyFont="1"/>
    <xf numFmtId="0" fontId="10" fillId="3" borderId="3" xfId="3" applyFont="1"/>
    <xf numFmtId="0" fontId="12" fillId="2" borderId="2" xfId="2" applyFont="1" applyAlignment="1">
      <alignment horizontal="left" wrapText="1"/>
    </xf>
    <xf numFmtId="3" fontId="13" fillId="3" borderId="3" xfId="3" applyNumberFormat="1" applyFont="1"/>
    <xf numFmtId="3" fontId="14" fillId="3" borderId="3" xfId="3" applyNumberFormat="1" applyFont="1"/>
    <xf numFmtId="0" fontId="15" fillId="3" borderId="3" xfId="3" applyFont="1"/>
    <xf numFmtId="0" fontId="16" fillId="0" borderId="1" xfId="1" applyFont="1" applyBorder="1"/>
    <xf numFmtId="0" fontId="16" fillId="0" borderId="0" xfId="1" applyFont="1" applyBorder="1"/>
  </cellXfs>
  <cellStyles count="4">
    <cellStyle name="Dane wyjściowe" xfId="2" builtinId="21"/>
    <cellStyle name="Normalny" xfId="0" builtinId="0"/>
    <cellStyle name="Tytuł" xfId="1" builtinId="15"/>
    <cellStyle name="Uwaga" xfId="3" builtinId="1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charset val="238"/>
        <scheme val="minor"/>
      </font>
      <numFmt numFmtId="0" formatCode="General"/>
    </dxf>
    <dxf>
      <font>
        <color rgb="FF70AD4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Sprzedaży</a:t>
            </a:r>
            <a:r>
              <a:rPr lang="pl-PL"/>
              <a:t> w ciągu miesiąca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Dane!$B$1</c:f>
              <c:strCache>
                <c:ptCount val="1"/>
                <c:pt idx="0">
                  <c:v>Sprzedaży</c:v>
                </c:pt>
              </c:strCache>
            </c:strRef>
          </c:tx>
          <c:spPr>
            <a:ln w="317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D9-4F39-A6C3-2218459D024E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1D9-4F39-A6C3-2218459D024E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D9-4F39-A6C3-2218459D024E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D9-4F39-A6C3-2218459D024E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1D9-4F39-A6C3-2218459D02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Dane!$A$2:$A$6</c:f>
              <c:strCache>
                <c:ptCount val="5"/>
                <c:pt idx="0">
                  <c:v>Kwiecień</c:v>
                </c:pt>
                <c:pt idx="1">
                  <c:v>Maj</c:v>
                </c:pt>
                <c:pt idx="2">
                  <c:v>Luty</c:v>
                </c:pt>
                <c:pt idx="3">
                  <c:v>Marzec</c:v>
                </c:pt>
                <c:pt idx="4">
                  <c:v>Styczeń</c:v>
                </c:pt>
              </c:strCache>
            </c:strRef>
          </c:cat>
          <c:val>
            <c:numRef>
              <c:f>Dane!$B$2:$B$6</c:f>
              <c:numCache>
                <c:formatCode>#,##0</c:formatCode>
                <c:ptCount val="5"/>
                <c:pt idx="0">
                  <c:v>18000</c:v>
                </c:pt>
                <c:pt idx="1">
                  <c:v>14000</c:v>
                </c:pt>
                <c:pt idx="2">
                  <c:v>15000</c:v>
                </c:pt>
                <c:pt idx="3">
                  <c:v>12000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8A-4667-953D-93CC9C894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Dane!$C$1</c15:sqref>
                        </c15:formulaRef>
                      </c:ext>
                    </c:extLst>
                    <c:strCache>
                      <c:ptCount val="1"/>
                      <c:pt idx="0">
                        <c:v>Ocena (funkcja JEŻELI)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>
                        <a:shade val="53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4F4E-411C-85AC-640EAFEDCE8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1">
                        <a:shade val="76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4F4E-411C-85AC-640EAFEDCE8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4F4E-411C-85AC-640EAFEDCE8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>
                        <a:tint val="77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4F4E-411C-85AC-640EAFEDCE8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1">
                        <a:tint val="54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4F4E-411C-85AC-640EAFEDCE8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l-P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Dane!$A$2:$A$6</c15:sqref>
                        </c15:formulaRef>
                      </c:ext>
                    </c:extLst>
                    <c:strCache>
                      <c:ptCount val="5"/>
                      <c:pt idx="0">
                        <c:v>Kwiecień</c:v>
                      </c:pt>
                      <c:pt idx="1">
                        <c:v>Maj</c:v>
                      </c:pt>
                      <c:pt idx="2">
                        <c:v>Luty</c:v>
                      </c:pt>
                      <c:pt idx="3">
                        <c:v>Marzec</c:v>
                      </c:pt>
                      <c:pt idx="4">
                        <c:v>Styczeń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Dane!$C$2:$C$6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BC8A-4667-953D-93CC9C8940FE}"/>
                  </c:ext>
                </c:extLst>
              </c15:ser>
            </c15:filteredPieSeries>
          </c:ext>
        </c:extLst>
      </c:doughnutChart>
      <c:spPr>
        <a:solidFill>
          <a:schemeClr val="lt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Sprzedaży</a:t>
            </a:r>
            <a:r>
              <a:rPr lang="pl-PL"/>
              <a:t> w ciągu miesiąca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Dane!$B$1</c:f>
              <c:strCache>
                <c:ptCount val="1"/>
                <c:pt idx="0">
                  <c:v>Sprzedaży</c:v>
                </c:pt>
              </c:strCache>
            </c:strRef>
          </c:tx>
          <c:spPr>
            <a:ln w="317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15-4BE3-A864-7850AFE0AC28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15-4BE3-A864-7850AFE0AC28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15-4BE3-A864-7850AFE0AC28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15-4BE3-A864-7850AFE0AC28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15-4BE3-A864-7850AFE0AC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Dane!$A$2:$A$6</c:f>
              <c:strCache>
                <c:ptCount val="5"/>
                <c:pt idx="0">
                  <c:v>Kwiecień</c:v>
                </c:pt>
                <c:pt idx="1">
                  <c:v>Maj</c:v>
                </c:pt>
                <c:pt idx="2">
                  <c:v>Luty</c:v>
                </c:pt>
                <c:pt idx="3">
                  <c:v>Marzec</c:v>
                </c:pt>
                <c:pt idx="4">
                  <c:v>Styczeń</c:v>
                </c:pt>
              </c:strCache>
            </c:strRef>
          </c:cat>
          <c:val>
            <c:numRef>
              <c:f>Dane!$B$2:$B$6</c:f>
              <c:numCache>
                <c:formatCode>#,##0</c:formatCode>
                <c:ptCount val="5"/>
                <c:pt idx="0">
                  <c:v>18000</c:v>
                </c:pt>
                <c:pt idx="1">
                  <c:v>14000</c:v>
                </c:pt>
                <c:pt idx="2">
                  <c:v>15000</c:v>
                </c:pt>
                <c:pt idx="3">
                  <c:v>12000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15-4BE3-A864-7850AFE0A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Dane!$C$1</c15:sqref>
                        </c15:formulaRef>
                      </c:ext>
                    </c:extLst>
                    <c:strCache>
                      <c:ptCount val="1"/>
                      <c:pt idx="0">
                        <c:v>Ocena (funkcja JEŻELI)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>
                        <a:shade val="53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F215-4BE3-A864-7850AFE0AC2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1">
                        <a:shade val="76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F215-4BE3-A864-7850AFE0AC2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F215-4BE3-A864-7850AFE0AC28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>
                        <a:tint val="77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F215-4BE3-A864-7850AFE0AC28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1">
                        <a:tint val="54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F215-4BE3-A864-7850AFE0AC2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l-P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Dane!$A$2:$A$6</c15:sqref>
                        </c15:formulaRef>
                      </c:ext>
                    </c:extLst>
                    <c:strCache>
                      <c:ptCount val="5"/>
                      <c:pt idx="0">
                        <c:v>Kwiecień</c:v>
                      </c:pt>
                      <c:pt idx="1">
                        <c:v>Maj</c:v>
                      </c:pt>
                      <c:pt idx="2">
                        <c:v>Luty</c:v>
                      </c:pt>
                      <c:pt idx="3">
                        <c:v>Marzec</c:v>
                      </c:pt>
                      <c:pt idx="4">
                        <c:v>Styczeń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Dane!$C$2:$C$6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F215-4BE3-A864-7850AFE0AC28}"/>
                  </c:ext>
                </c:extLst>
              </c15:ser>
            </c15:filteredPieSeries>
          </c:ext>
        </c:extLst>
      </c:doughnutChart>
      <c:spPr>
        <a:solidFill>
          <a:schemeClr val="lt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0941E0-5D7F-407F-93C3-20442DE6A0E6}">
  <sheetPr/>
  <sheetViews>
    <sheetView zoomScale="148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9525</xdr:rowOff>
    </xdr:from>
    <xdr:to>
      <xdr:col>3</xdr:col>
      <xdr:colOff>190500</xdr:colOff>
      <xdr:row>31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Ocena (funkcja JEŻELI)">
              <a:extLst>
                <a:ext uri="{FF2B5EF4-FFF2-40B4-BE49-F238E27FC236}">
                  <a16:creationId xmlns:a16="http://schemas.microsoft.com/office/drawing/2014/main" id="{6A5CCA3F-0F24-4CE8-914A-77075F683E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ena (funkcja JEŻELI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3438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774" cy="6077857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FCF13AA-35E7-4FA1-82C5-A7BC394FCB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5105400" y="1933575"/>
    <xdr:ext cx="9305774" cy="6077857"/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089F7CAE-03C6-42AC-8679-0169E904D1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" refreshedDate="46013.253805787041" createdVersion="7" refreshedVersion="7" minRefreshableVersion="3" recordCount="5" xr:uid="{2EDB94E7-4FC5-43A0-B10B-4479ED2C39A5}">
  <cacheSource type="worksheet">
    <worksheetSource name="Analiza_danych"/>
  </cacheSource>
  <cacheFields count="3">
    <cacheField name="Miesiąc" numFmtId="0">
      <sharedItems count="5">
        <s v="Kwiecień"/>
        <s v="Maj"/>
        <s v="Luty"/>
        <s v="Marzec"/>
        <s v="Styczeń"/>
      </sharedItems>
    </cacheField>
    <cacheField name="Sprzedaży" numFmtId="0">
      <sharedItems containsSemiMixedTypes="0" containsString="0" containsNumber="1" containsInteger="1" minValue="10000" maxValue="18000"/>
    </cacheField>
    <cacheField name="Ocena (funkcja JEŻELI)" numFmtId="0">
      <sharedItems count="2">
        <s v="Dobrze"/>
        <s v="Żle"/>
      </sharedItems>
    </cacheField>
  </cacheFields>
  <extLst>
    <ext xmlns:x14="http://schemas.microsoft.com/office/spreadsheetml/2009/9/main" uri="{725AE2AE-9491-48be-B2B4-4EB974FC3084}">
      <x14:pivotCacheDefinition pivotCacheId="3714521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8000"/>
    <x v="0"/>
  </r>
  <r>
    <x v="1"/>
    <n v="14000"/>
    <x v="0"/>
  </r>
  <r>
    <x v="2"/>
    <n v="15000"/>
    <x v="0"/>
  </r>
  <r>
    <x v="3"/>
    <n v="12000"/>
    <x v="1"/>
  </r>
  <r>
    <x v="4"/>
    <n v="1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6A7E0-11A1-4685-82AA-6B8A69602F6D}" name="Analiza sprzedaży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rowHeaderCaption="Miesiąc ">
  <location ref="B2:C13" firstHeaderRow="1" firstDataRow="1" firstDataCol="1"/>
  <pivotFields count="3">
    <pivotField axis="axisRow" showAll="0">
      <items count="6">
        <item x="4"/>
        <item x="2"/>
        <item x="3"/>
        <item x="0"/>
        <item x="1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2"/>
  </rowFields>
  <rowItems count="11">
    <i>
      <x/>
    </i>
    <i r="1">
      <x v="1"/>
    </i>
    <i>
      <x v="1"/>
    </i>
    <i r="1">
      <x/>
    </i>
    <i>
      <x v="2"/>
    </i>
    <i r="1">
      <x v="1"/>
    </i>
    <i>
      <x v="3"/>
    </i>
    <i r="1">
      <x/>
    </i>
    <i>
      <x v="4"/>
    </i>
    <i r="1">
      <x/>
    </i>
    <i t="grand">
      <x/>
    </i>
  </rowItems>
  <colItems count="1">
    <i/>
  </colItems>
  <dataFields count="1">
    <dataField name="Sprzedaży 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Ocena__funkcja_JEŻELI" xr10:uid="{6602A7AE-B312-400C-98BF-F63D737C5932}" sourceName="Ocena (funkcja JEŻELI)">
  <pivotTables>
    <pivotTable tabId="5" name="Analiza sprzedaży"/>
  </pivotTables>
  <data>
    <tabular pivotCacheId="371452120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cena (funkcja JEŻELI)" xr10:uid="{4FD41E73-8C0E-46E4-9DA5-7247B4BCEC43}" cache="Fragmentator_Ocena__funkcja_JEŻELI" caption="Ocena (funkcja JEŻELI)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1B925-4586-4557-A372-33092CAF9500}" name="Analiza_danych" displayName="Analiza_danych" ref="A1:C6" totalsRowShown="0">
  <autoFilter ref="A1:C6" xr:uid="{BDA7C7E8-E1BA-41CA-8421-0D3141FF3AA6}"/>
  <sortState xmlns:xlrd2="http://schemas.microsoft.com/office/spreadsheetml/2017/richdata2" ref="A2:C6">
    <sortCondition sortBy="fontColor" ref="C1:C6" dxfId="1"/>
  </sortState>
  <tableColumns count="3">
    <tableColumn id="1" xr3:uid="{F5344039-ADC6-429C-9FBC-321186205044}" name="Miesiąc"/>
    <tableColumn id="2" xr3:uid="{16D1D780-A607-4A93-85AC-D5212D3A8121}" name="Sprzedaży"/>
    <tableColumn id="3" xr3:uid="{AA9B7692-4F17-42B8-A6C9-16D51B7BEF66}" name="Ocena (funkcja JEŻELI)" dataDxfId="0">
      <calculatedColumnFormula>IF(B2&gt;=14000,"Dobrze","Żle")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C7E8-E1BA-41CA-8421-0D3141FF3AA6}">
  <dimension ref="A1:I12"/>
  <sheetViews>
    <sheetView workbookViewId="0">
      <selection activeCell="C2" sqref="C2"/>
    </sheetView>
  </sheetViews>
  <sheetFormatPr defaultRowHeight="15" x14ac:dyDescent="0.25"/>
  <cols>
    <col min="1" max="1" width="12.42578125" customWidth="1"/>
    <col min="2" max="2" width="14.140625" customWidth="1"/>
    <col min="3" max="3" width="24.5703125" customWidth="1"/>
  </cols>
  <sheetData>
    <row r="1" spans="1:9" x14ac:dyDescent="0.25">
      <c r="A1" s="8" t="s">
        <v>0</v>
      </c>
      <c r="B1" s="7" t="s">
        <v>1</v>
      </c>
      <c r="C1" s="7" t="s">
        <v>15</v>
      </c>
    </row>
    <row r="2" spans="1:9" x14ac:dyDescent="0.25">
      <c r="A2" t="s">
        <v>2</v>
      </c>
      <c r="B2" s="11">
        <v>18000</v>
      </c>
      <c r="C2" s="3" t="str">
        <f t="shared" ref="C2:C6" si="0">IF(B2&gt;=14000,"Dobrze","Żle")</f>
        <v>Dobrze</v>
      </c>
    </row>
    <row r="3" spans="1:9" x14ac:dyDescent="0.25">
      <c r="A3" t="s">
        <v>3</v>
      </c>
      <c r="B3" s="11">
        <v>14000</v>
      </c>
      <c r="C3" s="3" t="str">
        <f t="shared" si="0"/>
        <v>Dobrze</v>
      </c>
    </row>
    <row r="4" spans="1:9" x14ac:dyDescent="0.25">
      <c r="A4" t="s">
        <v>5</v>
      </c>
      <c r="B4" s="11">
        <v>15000</v>
      </c>
      <c r="C4" s="3" t="str">
        <f t="shared" si="0"/>
        <v>Dobrze</v>
      </c>
    </row>
    <row r="5" spans="1:9" x14ac:dyDescent="0.25">
      <c r="A5" t="s">
        <v>4</v>
      </c>
      <c r="B5" s="11">
        <v>12000</v>
      </c>
      <c r="C5" s="2" t="str">
        <f t="shared" si="0"/>
        <v>Żle</v>
      </c>
    </row>
    <row r="6" spans="1:9" x14ac:dyDescent="0.25">
      <c r="A6" t="s">
        <v>6</v>
      </c>
      <c r="B6" s="11">
        <v>10000</v>
      </c>
      <c r="C6" s="2" t="str">
        <f t="shared" si="0"/>
        <v>Żle</v>
      </c>
    </row>
    <row r="8" spans="1:9" x14ac:dyDescent="0.25">
      <c r="I8" s="6"/>
    </row>
    <row r="9" spans="1:9" x14ac:dyDescent="0.25">
      <c r="A9" t="s">
        <v>7</v>
      </c>
      <c r="B9" s="11">
        <f>SUM(B2:B6)</f>
        <v>69000</v>
      </c>
    </row>
    <row r="10" spans="1:9" x14ac:dyDescent="0.25">
      <c r="A10" t="s">
        <v>8</v>
      </c>
      <c r="B10" s="11">
        <f>AVERAGE(B2:B6)</f>
        <v>13800</v>
      </c>
    </row>
    <row r="11" spans="1:9" x14ac:dyDescent="0.25">
      <c r="A11" t="s">
        <v>9</v>
      </c>
      <c r="B11" s="11">
        <f>MAX(B2:B6)</f>
        <v>18000</v>
      </c>
    </row>
    <row r="12" spans="1:9" x14ac:dyDescent="0.25">
      <c r="A12" t="s">
        <v>10</v>
      </c>
      <c r="B12" s="11">
        <f>MIN(B2:B6)</f>
        <v>10000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FC3E-3A5E-4426-854D-9B9BDB0FD4ED}">
  <dimension ref="B2:C13"/>
  <sheetViews>
    <sheetView workbookViewId="0">
      <selection activeCell="G24" sqref="G24"/>
    </sheetView>
  </sheetViews>
  <sheetFormatPr defaultRowHeight="15" x14ac:dyDescent="0.25"/>
  <cols>
    <col min="2" max="2" width="14.28515625" bestFit="1" customWidth="1"/>
    <col min="3" max="3" width="10.28515625" bestFit="1" customWidth="1"/>
  </cols>
  <sheetData>
    <row r="2" spans="2:3" x14ac:dyDescent="0.25">
      <c r="B2" s="4" t="s">
        <v>17</v>
      </c>
      <c r="C2" t="s">
        <v>16</v>
      </c>
    </row>
    <row r="3" spans="2:3" x14ac:dyDescent="0.25">
      <c r="B3" s="1" t="s">
        <v>6</v>
      </c>
      <c r="C3" s="11">
        <v>10000</v>
      </c>
    </row>
    <row r="4" spans="2:3" x14ac:dyDescent="0.25">
      <c r="B4" s="5" t="s">
        <v>12</v>
      </c>
      <c r="C4" s="11">
        <v>10000</v>
      </c>
    </row>
    <row r="5" spans="2:3" x14ac:dyDescent="0.25">
      <c r="B5" s="1" t="s">
        <v>5</v>
      </c>
      <c r="C5" s="11">
        <v>15000</v>
      </c>
    </row>
    <row r="6" spans="2:3" x14ac:dyDescent="0.25">
      <c r="B6" s="5" t="s">
        <v>13</v>
      </c>
      <c r="C6" s="11">
        <v>15000</v>
      </c>
    </row>
    <row r="7" spans="2:3" x14ac:dyDescent="0.25">
      <c r="B7" s="1" t="s">
        <v>4</v>
      </c>
      <c r="C7" s="11">
        <v>12000</v>
      </c>
    </row>
    <row r="8" spans="2:3" x14ac:dyDescent="0.25">
      <c r="B8" s="5" t="s">
        <v>12</v>
      </c>
      <c r="C8" s="11">
        <v>12000</v>
      </c>
    </row>
    <row r="9" spans="2:3" x14ac:dyDescent="0.25">
      <c r="B9" s="1" t="s">
        <v>2</v>
      </c>
      <c r="C9" s="11">
        <v>18000</v>
      </c>
    </row>
    <row r="10" spans="2:3" x14ac:dyDescent="0.25">
      <c r="B10" s="5" t="s">
        <v>13</v>
      </c>
      <c r="C10" s="11">
        <v>18000</v>
      </c>
    </row>
    <row r="11" spans="2:3" x14ac:dyDescent="0.25">
      <c r="B11" s="1" t="s">
        <v>3</v>
      </c>
      <c r="C11" s="11">
        <v>14000</v>
      </c>
    </row>
    <row r="12" spans="2:3" x14ac:dyDescent="0.25">
      <c r="B12" s="5" t="s">
        <v>13</v>
      </c>
      <c r="C12" s="11">
        <v>14000</v>
      </c>
    </row>
    <row r="13" spans="2:3" x14ac:dyDescent="0.25">
      <c r="B13" s="1" t="s">
        <v>11</v>
      </c>
      <c r="C13" s="11">
        <v>69000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1A6C-D618-45F5-B3EB-9EB6ED18D08B}">
  <dimension ref="A1:A3"/>
  <sheetViews>
    <sheetView workbookViewId="0">
      <selection activeCell="C10" sqref="C10"/>
    </sheetView>
  </sheetViews>
  <sheetFormatPr defaultRowHeight="15" x14ac:dyDescent="0.25"/>
  <cols>
    <col min="1" max="1" width="44.85546875" customWidth="1"/>
  </cols>
  <sheetData>
    <row r="1" spans="1:1" ht="21" x14ac:dyDescent="0.35">
      <c r="A1" s="9" t="s">
        <v>14</v>
      </c>
    </row>
    <row r="3" spans="1:1" ht="87" customHeight="1" x14ac:dyDescent="0.25">
      <c r="A3" s="10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0B63-BE95-498E-AACC-956C9BD968AC}">
  <dimension ref="B2:H15"/>
  <sheetViews>
    <sheetView showGridLines="0" showRowColHeaders="0" tabSelected="1" zoomScale="110" zoomScaleNormal="110" workbookViewId="0">
      <selection activeCell="S35" sqref="S35"/>
    </sheetView>
  </sheetViews>
  <sheetFormatPr defaultRowHeight="15" x14ac:dyDescent="0.25"/>
  <cols>
    <col min="2" max="2" width="47.7109375" customWidth="1"/>
    <col min="4" max="4" width="10.5703125" bestFit="1" customWidth="1"/>
    <col min="8" max="8" width="76.42578125" bestFit="1" customWidth="1"/>
  </cols>
  <sheetData>
    <row r="2" spans="2:8" ht="36.75" thickBot="1" x14ac:dyDescent="0.6">
      <c r="H2" s="21" t="s">
        <v>28</v>
      </c>
    </row>
    <row r="3" spans="2:8" ht="36.75" thickTop="1" x14ac:dyDescent="0.55000000000000004">
      <c r="H3" s="22"/>
    </row>
    <row r="6" spans="2:8" ht="18.75" x14ac:dyDescent="0.3">
      <c r="B6" s="12" t="s">
        <v>24</v>
      </c>
    </row>
    <row r="8" spans="2:8" ht="16.5" x14ac:dyDescent="0.25">
      <c r="B8" s="13" t="s">
        <v>20</v>
      </c>
      <c r="C8" s="14">
        <f>Dane!B9</f>
        <v>69000</v>
      </c>
      <c r="D8" s="15"/>
    </row>
    <row r="9" spans="2:8" ht="16.5" x14ac:dyDescent="0.25">
      <c r="B9" s="13" t="s">
        <v>21</v>
      </c>
      <c r="C9" s="14">
        <f>Dane!B10</f>
        <v>13800</v>
      </c>
      <c r="D9" s="16"/>
    </row>
    <row r="10" spans="2:8" ht="16.5" x14ac:dyDescent="0.25">
      <c r="B10" s="13" t="s">
        <v>22</v>
      </c>
      <c r="C10" s="18">
        <f>Dane!B11</f>
        <v>18000</v>
      </c>
      <c r="D10" s="16" t="s">
        <v>26</v>
      </c>
    </row>
    <row r="11" spans="2:8" ht="16.5" x14ac:dyDescent="0.25">
      <c r="B11" s="13" t="s">
        <v>23</v>
      </c>
      <c r="C11" s="19">
        <f>Dane!B12</f>
        <v>10000</v>
      </c>
      <c r="D11" s="20" t="s">
        <v>27</v>
      </c>
    </row>
    <row r="13" spans="2:8" ht="18.75" x14ac:dyDescent="0.3">
      <c r="B13" s="12" t="s">
        <v>25</v>
      </c>
    </row>
    <row r="15" spans="2:8" ht="156.75" customHeight="1" x14ac:dyDescent="0.3">
      <c r="B15" s="17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Wykresy</vt:lpstr>
      </vt:variant>
      <vt:variant>
        <vt:i4>1</vt:i4>
      </vt:variant>
    </vt:vector>
  </HeadingPairs>
  <TitlesOfParts>
    <vt:vector size="5" baseType="lpstr">
      <vt:lpstr>Dane</vt:lpstr>
      <vt:lpstr>Analiza (tabela przestawna)</vt:lpstr>
      <vt:lpstr>Wniosek</vt:lpstr>
      <vt:lpstr>Dashboard</vt:lpstr>
      <vt:lpstr>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Ravina Badoni</dc:creator>
  <cp:lastModifiedBy>Ravina Badoni</cp:lastModifiedBy>
  <dcterms:created xsi:type="dcterms:W3CDTF">2025-12-21T20:25:45Z</dcterms:created>
  <dcterms:modified xsi:type="dcterms:W3CDTF">2026-01-21T16:43:59Z</dcterms:modified>
</cp:coreProperties>
</file>